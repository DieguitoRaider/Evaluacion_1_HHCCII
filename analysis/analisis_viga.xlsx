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iego Raider\Desktop\EVAL_1_HHCCII\analysis\"/>
    </mc:Choice>
  </mc:AlternateContent>
  <xr:revisionPtr revIDLastSave="0" documentId="8_{836C092C-7C5B-4722-8D64-1E20BF1324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etro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9" i="1"/>
  <c r="J2" i="1"/>
  <c r="J4" i="1"/>
  <c r="J5" i="1"/>
  <c r="J6" i="1"/>
  <c r="J7" i="1"/>
  <c r="J8" i="1"/>
  <c r="J10" i="1"/>
  <c r="H2" i="1"/>
  <c r="H3" i="1"/>
  <c r="H4" i="1"/>
  <c r="H5" i="1"/>
  <c r="I5" i="1" s="1"/>
  <c r="H6" i="1"/>
  <c r="I6" i="1" s="1"/>
  <c r="H7" i="1"/>
  <c r="I7" i="1" s="1"/>
  <c r="H8" i="1"/>
  <c r="I8" i="1" s="1"/>
  <c r="H9" i="1"/>
  <c r="I9" i="1" s="1"/>
  <c r="H10" i="1"/>
  <c r="I4" i="1"/>
  <c r="I10" i="1"/>
  <c r="I3" i="1"/>
  <c r="C23" i="1"/>
  <c r="B21" i="1"/>
  <c r="B20" i="1"/>
  <c r="B19" i="1"/>
  <c r="B18" i="1"/>
</calcChain>
</file>

<file path=xl/sharedStrings.xml><?xml version="1.0" encoding="utf-8"?>
<sst xmlns="http://schemas.openxmlformats.org/spreadsheetml/2006/main" count="51" uniqueCount="39">
  <si>
    <t>Parámetros del caso - viga simplemente apoyada</t>
  </si>
  <si>
    <t>Parámetro</t>
  </si>
  <si>
    <t>Valor</t>
  </si>
  <si>
    <t>Unidad</t>
  </si>
  <si>
    <t>Descripción</t>
  </si>
  <si>
    <t>L</t>
  </si>
  <si>
    <t>m</t>
  </si>
  <si>
    <t>Luz entre apoyos</t>
  </si>
  <si>
    <t>b</t>
  </si>
  <si>
    <t>Ancho de la sección rectangular</t>
  </si>
  <si>
    <t>h</t>
  </si>
  <si>
    <t>Altura de la sección rectangular</t>
  </si>
  <si>
    <t>E</t>
  </si>
  <si>
    <t>GPa</t>
  </si>
  <si>
    <t>Módulo de elasticidad para el ejercicio</t>
  </si>
  <si>
    <t>Configuración</t>
  </si>
  <si>
    <t>Carga puntual centrada</t>
  </si>
  <si>
    <t>-</t>
  </si>
  <si>
    <t>Viga simplemente apoyada</t>
  </si>
  <si>
    <t>Nota</t>
  </si>
  <si>
    <t>Los datos de deflexión son sintéticos y se entregan exclusivamente con fines docentes.</t>
  </si>
  <si>
    <t>carga_kN</t>
  </si>
  <si>
    <t>deflexion_medida_mm</t>
  </si>
  <si>
    <t>Conversiones</t>
  </si>
  <si>
    <t>mm</t>
  </si>
  <si>
    <t>=</t>
  </si>
  <si>
    <t>1m</t>
  </si>
  <si>
    <t>Gpa</t>
  </si>
  <si>
    <r>
      <t>1kN/mm</t>
    </r>
    <r>
      <rPr>
        <sz val="11"/>
        <color theme="1"/>
        <rFont val="Aptos Narrow"/>
        <family val="2"/>
      </rPr>
      <t>²</t>
    </r>
  </si>
  <si>
    <t>Parametro Conv</t>
  </si>
  <si>
    <t>Valor Conv</t>
  </si>
  <si>
    <t>Unidad Conv</t>
  </si>
  <si>
    <t>Segundo momento de área (I)</t>
  </si>
  <si>
    <r>
      <t>mm</t>
    </r>
    <r>
      <rPr>
        <sz val="11"/>
        <color theme="1"/>
        <rFont val="Aptos Narrow"/>
        <family val="2"/>
      </rPr>
      <t>⁴</t>
    </r>
  </si>
  <si>
    <t>deflexion_teorica_mm</t>
  </si>
  <si>
    <t>diferencia_relativa</t>
  </si>
  <si>
    <t>Ecuacion Euler-Bernoulli</t>
  </si>
  <si>
    <t>verifcacion_delta_p</t>
  </si>
  <si>
    <t>Se verifica comportamiento Lineal-Elastico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</si>
</sst>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color rgb="FF666666"/>
      <name val="Calibri"/>
    </font>
    <font>
      <sz val="11"/>
      <color rgb="FF008000"/>
      <name val="Calibri"/>
    </font>
    <font>
      <b/>
      <sz val="11"/>
      <color rgb="FFEA7600"/>
      <name val="Calibri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A499"/>
      </patternFill>
    </fill>
    <fill>
      <patternFill patternType="solid">
        <fgColor rgb="FF39404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7">
    <xf numFmtId="0" fontId="0" fillId="0" borderId="0" xfId="0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2" fontId="0" fillId="0" borderId="0" xfId="0" applyNumberFormat="1"/>
    <xf numFmtId="9" fontId="0" fillId="0" borderId="0" xfId="1" applyFont="1"/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164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Carga</a:t>
            </a:r>
            <a:r>
              <a:rPr lang="es-CL" baseline="0"/>
              <a:t> - Deflexion: Teorico vs Medido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1560930795664369"/>
          <c:y val="0.15550859543988738"/>
          <c:w val="0.84169694873982037"/>
          <c:h val="0.61272353557949555"/>
        </c:manualLayout>
      </c:layout>
      <c:scatterChart>
        <c:scatterStyle val="lineMarker"/>
        <c:varyColors val="0"/>
        <c:ser>
          <c:idx val="0"/>
          <c:order val="0"/>
          <c:tx>
            <c:v>Deflexion Medida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Parametros!$G$2:$G$10</c:f>
              <c:numCache>
                <c:formatCode>General</c:formatCode>
                <c:ptCount val="9"/>
                <c:pt idx="0">
                  <c:v>0</c:v>
                </c:pt>
                <c:pt idx="1">
                  <c:v>0.26</c:v>
                </c:pt>
                <c:pt idx="2">
                  <c:v>0.5</c:v>
                </c:pt>
                <c:pt idx="3">
                  <c:v>0.76</c:v>
                </c:pt>
                <c:pt idx="4">
                  <c:v>1.01</c:v>
                </c:pt>
                <c:pt idx="5">
                  <c:v>1.28</c:v>
                </c:pt>
                <c:pt idx="6">
                  <c:v>1.54</c:v>
                </c:pt>
                <c:pt idx="7">
                  <c:v>1.77</c:v>
                </c:pt>
                <c:pt idx="8">
                  <c:v>2.0499999999999998</c:v>
                </c:pt>
              </c:numCache>
            </c:numRef>
          </c:xVal>
          <c:yVal>
            <c:numRef>
              <c:f>Parametros!$F$2:$F$10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2C-4803-A775-9C9D9492BBDB}"/>
            </c:ext>
          </c:extLst>
        </c:ser>
        <c:ser>
          <c:idx val="1"/>
          <c:order val="1"/>
          <c:tx>
            <c:v>Deflexion Teorica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Parametros!$H$2:$H$10</c:f>
              <c:numCache>
                <c:formatCode>0.00</c:formatCode>
                <c:ptCount val="9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</c:numCache>
            </c:numRef>
          </c:xVal>
          <c:yVal>
            <c:numRef>
              <c:f>Parametros!$F$2:$F$10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2C-4803-A775-9C9D9492B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319872"/>
        <c:axId val="525613360"/>
      </c:scatterChart>
      <c:valAx>
        <c:axId val="616319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Deflexion</a:t>
                </a:r>
                <a:r>
                  <a:rPr lang="es-CL" baseline="0"/>
                  <a:t> [mm]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25613360"/>
        <c:crosses val="autoZero"/>
        <c:crossBetween val="midCat"/>
      </c:valAx>
      <c:valAx>
        <c:axId val="52561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Carga</a:t>
                </a:r>
                <a:r>
                  <a:rPr lang="es-CL" baseline="0"/>
                  <a:t> [kN]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16319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64188</xdr:colOff>
      <xdr:row>3</xdr:row>
      <xdr:rowOff>105576</xdr:rowOff>
    </xdr:from>
    <xdr:to>
      <xdr:col>14</xdr:col>
      <xdr:colOff>150166</xdr:colOff>
      <xdr:row>6</xdr:row>
      <xdr:rowOff>142310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025CC9-6C4D-465F-8227-BD8647447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45726" y="701499"/>
          <a:ext cx="2508748" cy="593580"/>
        </a:xfrm>
        <a:prstGeom prst="rect">
          <a:avLst/>
        </a:prstGeom>
      </xdr:spPr>
    </xdr:pic>
    <xdr:clientData/>
  </xdr:twoCellAnchor>
  <xdr:twoCellAnchor>
    <xdr:from>
      <xdr:col>4</xdr:col>
      <xdr:colOff>557561</xdr:colOff>
      <xdr:row>14</xdr:row>
      <xdr:rowOff>45533</xdr:rowOff>
    </xdr:from>
    <xdr:to>
      <xdr:col>8</xdr:col>
      <xdr:colOff>1027813</xdr:colOff>
      <xdr:row>30</xdr:row>
      <xdr:rowOff>97465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8C41378-57EB-5CBC-CCEA-A72E511E56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showGridLines="0" tabSelected="1" topLeftCell="C1" zoomScale="78" zoomScaleNormal="86" workbookViewId="0">
      <selection activeCell="J15" sqref="J15"/>
    </sheetView>
  </sheetViews>
  <sheetFormatPr baseColWidth="10" defaultColWidth="8.88671875" defaultRowHeight="14.4" x14ac:dyDescent="0.3"/>
  <cols>
    <col min="1" max="1" width="16" customWidth="1"/>
    <col min="2" max="2" width="20" customWidth="1"/>
    <col min="3" max="3" width="12" customWidth="1"/>
    <col min="4" max="4" width="44" customWidth="1"/>
    <col min="7" max="7" width="25.33203125" customWidth="1"/>
    <col min="8" max="8" width="22.33203125" customWidth="1"/>
    <col min="9" max="9" width="20.33203125" customWidth="1"/>
    <col min="10" max="10" width="19" customWidth="1"/>
  </cols>
  <sheetData>
    <row r="1" spans="1:14" ht="18" x14ac:dyDescent="0.35">
      <c r="A1" s="11" t="s">
        <v>0</v>
      </c>
      <c r="B1" s="12"/>
      <c r="C1" s="12"/>
      <c r="D1" s="12"/>
      <c r="F1" t="s">
        <v>21</v>
      </c>
      <c r="G1" t="s">
        <v>22</v>
      </c>
      <c r="H1" t="s">
        <v>34</v>
      </c>
      <c r="I1" t="s">
        <v>35</v>
      </c>
      <c r="J1" t="s">
        <v>37</v>
      </c>
    </row>
    <row r="2" spans="1:14" x14ac:dyDescent="0.3">
      <c r="F2">
        <v>0</v>
      </c>
      <c r="G2">
        <v>0</v>
      </c>
      <c r="H2">
        <f>(F2*$B$18^3)/(48*$B$21*$C$23)</f>
        <v>0</v>
      </c>
      <c r="I2" s="5" t="s">
        <v>17</v>
      </c>
      <c r="J2">
        <f>0</f>
        <v>0</v>
      </c>
    </row>
    <row r="3" spans="1:14" x14ac:dyDescent="0.3">
      <c r="A3" s="1" t="s">
        <v>1</v>
      </c>
      <c r="B3" s="1" t="s">
        <v>2</v>
      </c>
      <c r="C3" s="1" t="s">
        <v>3</v>
      </c>
      <c r="D3" s="1" t="s">
        <v>4</v>
      </c>
      <c r="F3">
        <v>5</v>
      </c>
      <c r="G3">
        <v>0.26</v>
      </c>
      <c r="H3" s="9">
        <f t="shared" ref="H3:H10" si="0">(F3*$B$18^3)/(48*$B$21*$C$23)</f>
        <v>0.25</v>
      </c>
      <c r="I3" s="10">
        <f>ABS(H3-G3)/H3</f>
        <v>4.0000000000000036E-2</v>
      </c>
      <c r="J3" s="16">
        <f>H3/F3</f>
        <v>0.05</v>
      </c>
      <c r="K3" s="15" t="s">
        <v>36</v>
      </c>
      <c r="L3" s="15"/>
      <c r="M3" s="15"/>
      <c r="N3" s="15"/>
    </row>
    <row r="4" spans="1:14" x14ac:dyDescent="0.3">
      <c r="A4" s="2" t="s">
        <v>5</v>
      </c>
      <c r="B4" s="3">
        <v>4</v>
      </c>
      <c r="C4" s="2" t="s">
        <v>6</v>
      </c>
      <c r="D4" s="2" t="s">
        <v>7</v>
      </c>
      <c r="F4">
        <v>10</v>
      </c>
      <c r="G4">
        <v>0.5</v>
      </c>
      <c r="H4" s="9">
        <f t="shared" si="0"/>
        <v>0.5</v>
      </c>
      <c r="I4" s="10">
        <f t="shared" ref="I4:I10" si="1">ABS(H4-G4)/H4</f>
        <v>0</v>
      </c>
      <c r="J4" s="16">
        <f t="shared" ref="J3:J10" si="2">H4/F4</f>
        <v>0.05</v>
      </c>
    </row>
    <row r="5" spans="1:14" x14ac:dyDescent="0.3">
      <c r="A5" s="2" t="s">
        <v>8</v>
      </c>
      <c r="B5" s="3">
        <v>0.2</v>
      </c>
      <c r="C5" s="2" t="s">
        <v>6</v>
      </c>
      <c r="D5" s="2" t="s">
        <v>9</v>
      </c>
      <c r="F5">
        <v>15</v>
      </c>
      <c r="G5">
        <v>0.76</v>
      </c>
      <c r="H5" s="9">
        <f t="shared" si="0"/>
        <v>0.75</v>
      </c>
      <c r="I5" s="10">
        <f t="shared" si="1"/>
        <v>1.3333333333333345E-2</v>
      </c>
      <c r="J5" s="16">
        <f t="shared" si="2"/>
        <v>0.05</v>
      </c>
    </row>
    <row r="6" spans="1:14" x14ac:dyDescent="0.3">
      <c r="A6" s="2" t="s">
        <v>10</v>
      </c>
      <c r="B6" s="3">
        <v>0.4</v>
      </c>
      <c r="C6" s="2" t="s">
        <v>6</v>
      </c>
      <c r="D6" s="2" t="s">
        <v>11</v>
      </c>
      <c r="F6">
        <v>20</v>
      </c>
      <c r="G6">
        <v>1.01</v>
      </c>
      <c r="H6" s="9">
        <f t="shared" si="0"/>
        <v>1</v>
      </c>
      <c r="I6" s="10">
        <f t="shared" si="1"/>
        <v>1.0000000000000009E-2</v>
      </c>
      <c r="J6" s="16">
        <f t="shared" si="2"/>
        <v>0.05</v>
      </c>
    </row>
    <row r="7" spans="1:14" x14ac:dyDescent="0.3">
      <c r="A7" s="2" t="s">
        <v>12</v>
      </c>
      <c r="B7" s="3">
        <v>25</v>
      </c>
      <c r="C7" s="2" t="s">
        <v>13</v>
      </c>
      <c r="D7" s="2" t="s">
        <v>14</v>
      </c>
      <c r="F7">
        <v>25</v>
      </c>
      <c r="G7">
        <v>1.28</v>
      </c>
      <c r="H7" s="9">
        <f t="shared" si="0"/>
        <v>1.25</v>
      </c>
      <c r="I7" s="10">
        <f t="shared" si="1"/>
        <v>2.4000000000000021E-2</v>
      </c>
      <c r="J7" s="16">
        <f t="shared" si="2"/>
        <v>0.05</v>
      </c>
    </row>
    <row r="8" spans="1:14" ht="28.8" x14ac:dyDescent="0.3">
      <c r="A8" s="2" t="s">
        <v>15</v>
      </c>
      <c r="B8" s="3" t="s">
        <v>16</v>
      </c>
      <c r="C8" s="2" t="s">
        <v>17</v>
      </c>
      <c r="D8" s="2" t="s">
        <v>18</v>
      </c>
      <c r="F8">
        <v>30</v>
      </c>
      <c r="G8">
        <v>1.54</v>
      </c>
      <c r="H8" s="9">
        <f t="shared" si="0"/>
        <v>1.5</v>
      </c>
      <c r="I8" s="10">
        <f t="shared" si="1"/>
        <v>2.6666666666666689E-2</v>
      </c>
      <c r="J8" s="16">
        <f t="shared" si="2"/>
        <v>0.05</v>
      </c>
    </row>
    <row r="9" spans="1:14" x14ac:dyDescent="0.3">
      <c r="F9">
        <v>35</v>
      </c>
      <c r="G9">
        <v>1.77</v>
      </c>
      <c r="H9" s="9">
        <f t="shared" si="0"/>
        <v>1.75</v>
      </c>
      <c r="I9" s="10">
        <f t="shared" si="1"/>
        <v>1.1428571428571439E-2</v>
      </c>
      <c r="J9" s="16">
        <f t="shared" si="2"/>
        <v>0.05</v>
      </c>
    </row>
    <row r="10" spans="1:14" x14ac:dyDescent="0.3">
      <c r="F10">
        <v>40</v>
      </c>
      <c r="G10">
        <v>2.0499999999999998</v>
      </c>
      <c r="H10" s="9">
        <f t="shared" si="0"/>
        <v>2</v>
      </c>
      <c r="I10" s="10">
        <f t="shared" si="1"/>
        <v>2.4999999999999911E-2</v>
      </c>
      <c r="J10" s="16">
        <f t="shared" si="2"/>
        <v>0.05</v>
      </c>
    </row>
    <row r="11" spans="1:14" x14ac:dyDescent="0.3">
      <c r="A11" s="4" t="s">
        <v>19</v>
      </c>
      <c r="B11" s="13" t="s">
        <v>20</v>
      </c>
      <c r="C11" s="12"/>
      <c r="D11" s="12"/>
    </row>
    <row r="12" spans="1:14" x14ac:dyDescent="0.3">
      <c r="J12" t="s">
        <v>38</v>
      </c>
    </row>
    <row r="13" spans="1:14" x14ac:dyDescent="0.3">
      <c r="A13" t="s">
        <v>23</v>
      </c>
    </row>
    <row r="14" spans="1:14" x14ac:dyDescent="0.3">
      <c r="A14">
        <v>1000</v>
      </c>
      <c r="B14" t="s">
        <v>24</v>
      </c>
      <c r="C14" t="s">
        <v>25</v>
      </c>
      <c r="D14" t="s">
        <v>26</v>
      </c>
    </row>
    <row r="15" spans="1:14" x14ac:dyDescent="0.3">
      <c r="A15">
        <v>1</v>
      </c>
      <c r="B15" t="s">
        <v>27</v>
      </c>
      <c r="C15" t="s">
        <v>25</v>
      </c>
      <c r="D15" t="s">
        <v>28</v>
      </c>
    </row>
    <row r="17" spans="1:4" x14ac:dyDescent="0.3">
      <c r="A17" t="s">
        <v>29</v>
      </c>
      <c r="B17" t="s">
        <v>30</v>
      </c>
      <c r="C17" s="8" t="s">
        <v>31</v>
      </c>
    </row>
    <row r="18" spans="1:4" x14ac:dyDescent="0.3">
      <c r="A18" t="s">
        <v>5</v>
      </c>
      <c r="B18" s="5">
        <f>A14*B4</f>
        <v>4000</v>
      </c>
      <c r="C18" t="s">
        <v>24</v>
      </c>
    </row>
    <row r="19" spans="1:4" x14ac:dyDescent="0.3">
      <c r="A19" t="s">
        <v>8</v>
      </c>
      <c r="B19" s="5">
        <f>B5*A14</f>
        <v>200</v>
      </c>
      <c r="C19" t="s">
        <v>24</v>
      </c>
    </row>
    <row r="20" spans="1:4" x14ac:dyDescent="0.3">
      <c r="A20" t="s">
        <v>10</v>
      </c>
      <c r="B20" s="5">
        <f>B6*A14</f>
        <v>400</v>
      </c>
      <c r="C20" t="s">
        <v>24</v>
      </c>
    </row>
    <row r="21" spans="1:4" x14ac:dyDescent="0.3">
      <c r="A21" t="s">
        <v>12</v>
      </c>
      <c r="B21" s="5">
        <f>B7*A15</f>
        <v>25</v>
      </c>
      <c r="C21" t="s">
        <v>28</v>
      </c>
    </row>
    <row r="23" spans="1:4" x14ac:dyDescent="0.3">
      <c r="A23" s="14" t="s">
        <v>32</v>
      </c>
      <c r="B23" s="14"/>
      <c r="C23" s="6">
        <f>(B19*B20^3)/12</f>
        <v>1066666666.6666666</v>
      </c>
      <c r="D23" s="7" t="s">
        <v>33</v>
      </c>
    </row>
  </sheetData>
  <mergeCells count="4">
    <mergeCell ref="A1:D1"/>
    <mergeCell ref="B11:D11"/>
    <mergeCell ref="A23:B23"/>
    <mergeCell ref="K3:N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Mundaca S</cp:lastModifiedBy>
  <dcterms:created xsi:type="dcterms:W3CDTF">2026-09-19T14:11:16Z</dcterms:created>
  <dcterms:modified xsi:type="dcterms:W3CDTF">2026-10-04T13:41:15Z</dcterms:modified>
</cp:coreProperties>
</file>